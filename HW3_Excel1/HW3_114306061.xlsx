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a97fb774155d31/Desktop/"/>
    </mc:Choice>
  </mc:AlternateContent>
  <xr:revisionPtr revIDLastSave="0" documentId="8_{57639279-6955-4E58-A7B6-74E7CEBAB2D8}" xr6:coauthVersionLast="47" xr6:coauthVersionMax="47" xr10:uidLastSave="{00000000-0000-0000-0000-000000000000}"/>
  <bookViews>
    <workbookView xWindow="-110" yWindow="-110" windowWidth="19420" windowHeight="1230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P3" i="1"/>
  <c r="P2" i="1"/>
  <c r="H17" i="1"/>
  <c r="D17" i="1"/>
  <c r="C17" i="1"/>
  <c r="J1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2" i="1" a="1"/>
  <c r="K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<sst xmlns="http://schemas.openxmlformats.org/spreadsheetml/2006/main" count="34" uniqueCount="34">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</sst>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等线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80.800000000000011</c:v>
                </c:pt>
                <c:pt idx="4">
                  <c:v>84.7</c:v>
                </c:pt>
                <c:pt idx="5">
                  <c:v>80.800000000000011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D-4BAE-A52B-C32170E86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948751"/>
        <c:axId val="1425950191"/>
      </c:barChart>
      <c:catAx>
        <c:axId val="142594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5950191"/>
        <c:crosses val="autoZero"/>
        <c:auto val="1"/>
        <c:lblAlgn val="ctr"/>
        <c:lblOffset val="100"/>
        <c:noMultiLvlLbl val="0"/>
      </c:catAx>
      <c:valAx>
        <c:axId val="14259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594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Pass/Fail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工作表1!$O$2:$O$3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工作表1!$P$2:$P$3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5-4D83-8BD6-B28B07BB6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938305</xdr:colOff>
      <xdr:row>24</xdr:row>
      <xdr:rowOff>18111</xdr:rowOff>
    </xdr:from>
    <xdr:to>
      <xdr:col>10</xdr:col>
      <xdr:colOff>1195779</xdr:colOff>
      <xdr:row>36</xdr:row>
      <xdr:rowOff>140195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6DDBB0A-D32E-44DE-6B65-E2FCCD67A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1204026</xdr:colOff>
      <xdr:row>15</xdr:row>
      <xdr:rowOff>187037</xdr:rowOff>
    </xdr:from>
    <xdr:to>
      <xdr:col>12</xdr:col>
      <xdr:colOff>857663</xdr:colOff>
      <xdr:row>29</xdr:row>
      <xdr:rowOff>164935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655D4663-CCE1-75E1-D2EC-55412B45C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P24"/>
  <sheetViews>
    <sheetView tabSelected="1" zoomScale="63" workbookViewId="0">
      <selection activeCell="F25" sqref="F25"/>
    </sheetView>
  </sheetViews>
  <sheetFormatPr defaultRowHeight="15.5" x14ac:dyDescent="0.35"/>
  <cols>
    <col min="3" max="4" width="13" bestFit="1" customWidth="1"/>
    <col min="8" max="8" width="18.69140625" bestFit="1" customWidth="1"/>
    <col min="10" max="10" width="16.07421875" bestFit="1" customWidth="1"/>
    <col min="11" max="11" width="24.23046875" customWidth="1"/>
    <col min="12" max="12" width="23" customWidth="1"/>
    <col min="13" max="13" width="13.53515625" bestFit="1" customWidth="1"/>
    <col min="14" max="14" width="12.15234375" bestFit="1" customWidth="1"/>
  </cols>
  <sheetData>
    <row r="1" spans="1:16" ht="17" x14ac:dyDescent="0.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  <c r="M1" s="6"/>
      <c r="N1" s="6"/>
    </row>
    <row r="2" spans="1:16" ht="17" x14ac:dyDescent="0.4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5">
        <f>(C2+D2+E2+F2+G2)*0.1+I2*0.5</f>
        <v>91.7</v>
      </c>
      <c r="K2" s="5" t="str" cm="1">
        <f t="array" ref="K2">_xlfn.IFS(J2&gt;=90,"A",J2&gt;=80,"B",J2&gt;=70,"C",J2&gt;=60,"D",J2&lt;60,"F")</f>
        <v>A</v>
      </c>
      <c r="L2" s="5" t="str">
        <f>IF(J2&gt;=60,"pass","fail")</f>
        <v>pass</v>
      </c>
      <c r="O2" s="6" t="s">
        <v>32</v>
      </c>
      <c r="P2" s="6">
        <f>COUNTIF(L2:L15,"pass")</f>
        <v>12</v>
      </c>
    </row>
    <row r="3" spans="1:16" ht="17" x14ac:dyDescent="0.4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 s="5">
        <f t="shared" ref="J3:J15" si="1">(C3+D3+E3+F3+G3)*0.1+I3*0.5</f>
        <v>90</v>
      </c>
      <c r="K3" s="5" t="str" cm="1">
        <f t="array" ref="K3">_xlfn.IFS(J3&gt;=90,"A",J3&gt;=80,"B",J3&gt;=70,"C",J3&gt;=60,"D",J3&lt;60,"F")</f>
        <v>A</v>
      </c>
      <c r="L3" s="5" t="str">
        <f t="shared" ref="L3:L15" si="2">IF(J3&gt;=60,"pass","fail")</f>
        <v>pass</v>
      </c>
      <c r="O3" s="6" t="s">
        <v>33</v>
      </c>
      <c r="P3">
        <f>COUNTIF(L2:L15,"fail")</f>
        <v>2</v>
      </c>
    </row>
    <row r="4" spans="1:16" ht="17" x14ac:dyDescent="0.4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 s="5">
        <f t="shared" si="1"/>
        <v>81.2</v>
      </c>
      <c r="K4" s="5" t="str" cm="1">
        <f t="array" ref="K4">_xlfn.IFS(J4&gt;=90,"A",J4&gt;=80,"B",J4&gt;=70,"C",J4&gt;=60,"D",J4&lt;60,"F")</f>
        <v>B</v>
      </c>
      <c r="L4" s="5" t="str">
        <f t="shared" si="2"/>
        <v>pass</v>
      </c>
    </row>
    <row r="5" spans="1:16" ht="17" x14ac:dyDescent="0.4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 s="5">
        <f t="shared" si="1"/>
        <v>80.800000000000011</v>
      </c>
      <c r="K5" s="5" t="str" cm="1">
        <f t="array" ref="K5">_xlfn.IFS(J5&gt;=90,"A",J5&gt;=80,"B",J5&gt;=70,"C",J5&gt;=60,"D",J5&lt;60,"F")</f>
        <v>B</v>
      </c>
      <c r="L5" s="5" t="str">
        <f t="shared" si="2"/>
        <v>pass</v>
      </c>
    </row>
    <row r="6" spans="1:16" ht="17" x14ac:dyDescent="0.4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 s="5">
        <f t="shared" si="1"/>
        <v>84.7</v>
      </c>
      <c r="K6" s="5" t="str" cm="1">
        <f t="array" ref="K6">_xlfn.IFS(J6&gt;=90,"A",J6&gt;=80,"B",J6&gt;=70,"C",J6&gt;=60,"D",J6&lt;60,"F")</f>
        <v>B</v>
      </c>
      <c r="L6" s="5" t="str">
        <f t="shared" si="2"/>
        <v>pass</v>
      </c>
    </row>
    <row r="7" spans="1:16" ht="17" x14ac:dyDescent="0.4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 s="5">
        <f t="shared" si="1"/>
        <v>80.800000000000011</v>
      </c>
      <c r="K7" s="5" t="str" cm="1">
        <f t="array" ref="K7">_xlfn.IFS(J7&gt;=90,"A",J7&gt;=80,"B",J7&gt;=70,"C",J7&gt;=60,"D",J7&lt;60,"F")</f>
        <v>B</v>
      </c>
      <c r="L7" s="5" t="str">
        <f t="shared" si="2"/>
        <v>pass</v>
      </c>
    </row>
    <row r="8" spans="1:16" ht="17" x14ac:dyDescent="0.4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 s="5">
        <f t="shared" si="1"/>
        <v>77.900000000000006</v>
      </c>
      <c r="K8" s="5" t="str" cm="1">
        <f t="array" ref="K8">_xlfn.IFS(J8&gt;=90,"A",J8&gt;=80,"B",J8&gt;=70,"C",J8&gt;=60,"D",J8&lt;60,"F")</f>
        <v>C</v>
      </c>
      <c r="L8" s="5" t="str">
        <f t="shared" si="2"/>
        <v>pass</v>
      </c>
    </row>
    <row r="9" spans="1:16" ht="17" x14ac:dyDescent="0.4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 s="5">
        <f t="shared" si="1"/>
        <v>74.2</v>
      </c>
      <c r="K9" s="5" t="str" cm="1">
        <f t="array" ref="K9">_xlfn.IFS(J9&gt;=90,"A",J9&gt;=80,"B",J9&gt;=70,"C",J9&gt;=60,"D",J9&lt;60,"F")</f>
        <v>C</v>
      </c>
      <c r="L9" s="5" t="str">
        <f t="shared" si="2"/>
        <v>pass</v>
      </c>
    </row>
    <row r="10" spans="1:16" ht="17" x14ac:dyDescent="0.4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 s="5">
        <f t="shared" si="1"/>
        <v>75.2</v>
      </c>
      <c r="K10" s="5" t="str" cm="1">
        <f t="array" ref="K10">_xlfn.IFS(J10&gt;=90,"A",J10&gt;=80,"B",J10&gt;=70,"C",J10&gt;=60,"D",J10&lt;60,"F")</f>
        <v>C</v>
      </c>
      <c r="L10" s="5" t="str">
        <f t="shared" si="2"/>
        <v>pass</v>
      </c>
    </row>
    <row r="11" spans="1:16" ht="17" x14ac:dyDescent="0.4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 s="5">
        <f t="shared" si="1"/>
        <v>77.599999999999994</v>
      </c>
      <c r="K11" s="5" t="str" cm="1">
        <f t="array" ref="K11">_xlfn.IFS(J11&gt;=90,"A",J11&gt;=80,"B",J11&gt;=70,"C",J11&gt;=60,"D",J11&lt;60,"F")</f>
        <v>C</v>
      </c>
      <c r="L11" s="5" t="str">
        <f t="shared" si="2"/>
        <v>pass</v>
      </c>
    </row>
    <row r="12" spans="1:16" ht="17" x14ac:dyDescent="0.4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 s="5">
        <f t="shared" si="1"/>
        <v>80.599999999999994</v>
      </c>
      <c r="K12" s="5" t="str" cm="1">
        <f t="array" ref="K12">_xlfn.IFS(J12&gt;=90,"A",J12&gt;=80,"B",J12&gt;=70,"C",J12&gt;=60,"D",J12&lt;60,"F")</f>
        <v>B</v>
      </c>
      <c r="L12" s="5" t="str">
        <f t="shared" si="2"/>
        <v>pass</v>
      </c>
    </row>
    <row r="13" spans="1:16" ht="17" x14ac:dyDescent="0.4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 s="5">
        <f t="shared" si="1"/>
        <v>59</v>
      </c>
      <c r="K13" s="5" t="str" cm="1">
        <f t="array" ref="K13">_xlfn.IFS(J13&gt;=90,"A",J13&gt;=80,"B",J13&gt;=70,"C",J13&gt;=60,"D",J13&lt;60,"F")</f>
        <v>F</v>
      </c>
      <c r="L13" s="5" t="str">
        <f t="shared" si="2"/>
        <v>fail</v>
      </c>
    </row>
    <row r="14" spans="1:16" ht="17" x14ac:dyDescent="0.4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 s="5">
        <f t="shared" si="1"/>
        <v>66.900000000000006</v>
      </c>
      <c r="K14" s="5" t="str" cm="1">
        <f t="array" ref="K14">_xlfn.IFS(J14&gt;=90,"A",J14&gt;=80,"B",J14&gt;=70,"C",J14&gt;=60,"D",J14&lt;60,"F")</f>
        <v>D</v>
      </c>
      <c r="L14" s="5" t="str">
        <f t="shared" si="2"/>
        <v>pass</v>
      </c>
    </row>
    <row r="15" spans="1:16" ht="17" x14ac:dyDescent="0.4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 s="5">
        <f>(C15+D15+E15+F15+G15)*0.1+I15*0.5</f>
        <v>55.6</v>
      </c>
      <c r="K15" s="5" t="str" cm="1">
        <f t="array" ref="K15">_xlfn.IFS(J15&gt;=90,"A",J15&gt;=80,"B",J15&gt;=70,"C",J15&gt;=60,"D",J15&lt;60,"F")</f>
        <v>F</v>
      </c>
      <c r="L15" s="5" t="str">
        <f t="shared" si="2"/>
        <v>fail</v>
      </c>
    </row>
    <row r="16" spans="1:16" x14ac:dyDescent="0.35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1:12" ht="17" x14ac:dyDescent="0.4">
      <c r="A17" s="5"/>
      <c r="B17" s="5"/>
      <c r="C17" s="5">
        <f>MAX(C2:C15)</f>
        <v>98</v>
      </c>
      <c r="D17" s="5">
        <f>LARGE(D2:D15,2)</f>
        <v>92</v>
      </c>
      <c r="E17" s="5"/>
      <c r="F17" s="5"/>
      <c r="G17" s="5"/>
      <c r="H17" s="1">
        <f>COUNTIF(H2:H15,"&lt;80")</f>
        <v>8</v>
      </c>
      <c r="I17" s="5"/>
      <c r="J17" s="5">
        <f>AVERAGE(J2:J15)</f>
        <v>76.871428571428581</v>
      </c>
      <c r="K17" s="5"/>
      <c r="L17" s="5"/>
    </row>
    <row r="18" spans="1:12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4" spans="1:12" x14ac:dyDescent="0.35">
      <c r="J24" s="4" t="s">
        <v>30</v>
      </c>
    </row>
  </sheetData>
  <phoneticPr fontId="2" type="noConversion"/>
  <conditionalFormatting sqref="L2:L15 L17">
    <cfRule type="cellIs" dxfId="0" priority="2" operator="equal">
      <formula>"pass"</formula>
    </cfRule>
    <cfRule type="cellIs" dxfId="1" priority="1" operator="equal">
      <formula>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吳佳玹</cp:lastModifiedBy>
  <dcterms:created xsi:type="dcterms:W3CDTF">2023-10-19T05:27:10Z</dcterms:created>
  <dcterms:modified xsi:type="dcterms:W3CDTF">2025-10-09T14:19:24Z</dcterms:modified>
</cp:coreProperties>
</file>